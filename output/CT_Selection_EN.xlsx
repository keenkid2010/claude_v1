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180" tabRatio="600" firstSheet="0" activeTab="0" autoFilterDateGrouping="1"/>
  </bookViews>
  <sheets>
    <sheet name="Protection Burden Check" sheetId="1" state="visible" r:id="rId1"/>
    <sheet name="Metering Burden Check" sheetId="2" state="visible" r:id="rId2"/>
    <sheet name="CT Selection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9">
    <font>
      <name val="Calibri"/>
      <charset val="134"/>
      <color rgb="FF000000"/>
      <sz val="10.5"/>
    </font>
    <font>
      <name val="微软雅黑"/>
      <charset val="134"/>
      <b val="1"/>
      <color rgb="FFFFFFFF"/>
      <sz val="13.5"/>
    </font>
    <font>
      <name val="微软雅黑"/>
      <charset val="134"/>
      <b val="1"/>
      <color rgb="FFFFFFFF"/>
      <sz val="9.75"/>
    </font>
    <font>
      <name val="微软雅黑"/>
      <charset val="134"/>
      <color rgb="FF000000"/>
      <sz val="9.75"/>
    </font>
    <font>
      <name val="微软雅黑"/>
      <charset val="134"/>
      <b val="1"/>
      <color rgb="FF17365D"/>
      <sz val="9"/>
    </font>
    <font>
      <name val="微软雅黑"/>
      <charset val="134"/>
      <color rgb="FF595959"/>
      <sz val="9"/>
    </font>
    <font>
      <name val="微软雅黑"/>
      <charset val="134"/>
      <b val="1"/>
      <color rgb="FF17365D"/>
      <sz val="10.5"/>
    </font>
    <font>
      <name val="微软雅黑"/>
      <charset val="134"/>
      <b val="1"/>
      <color rgb="FF000000"/>
      <sz val="9.75"/>
    </font>
    <font>
      <name val="微软雅黑"/>
      <charset val="134"/>
      <i val="1"/>
      <color rgb="FF80808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8" borderId="2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" applyAlignment="1">
      <alignment vertical="center"/>
    </xf>
    <xf numFmtId="0" fontId="16" fillId="0" borderId="3" applyAlignment="1">
      <alignment vertical="center"/>
    </xf>
    <xf numFmtId="0" fontId="17" fillId="0" borderId="4" applyAlignment="1">
      <alignment vertical="center"/>
    </xf>
    <xf numFmtId="0" fontId="17" fillId="0" borderId="0" applyAlignment="1">
      <alignment vertical="center"/>
    </xf>
    <xf numFmtId="0" fontId="18" fillId="9" borderId="5" applyAlignment="1">
      <alignment vertical="center"/>
    </xf>
    <xf numFmtId="0" fontId="19" fillId="10" borderId="6" applyAlignment="1">
      <alignment vertical="center"/>
    </xf>
    <xf numFmtId="0" fontId="20" fillId="10" borderId="5" applyAlignment="1">
      <alignment vertical="center"/>
    </xf>
    <xf numFmtId="0" fontId="21" fillId="11" borderId="7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2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4" fontId="3" fillId="7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tabSelected="1" workbookViewId="0">
      <selection activeCell="G25" sqref="G25"/>
    </sheetView>
  </sheetViews>
  <sheetFormatPr baseColWidth="8" defaultColWidth="13" defaultRowHeight="14.4"/>
  <cols>
    <col width="52" customWidth="1" style="18" min="1" max="1"/>
    <col width="40" customWidth="1" style="8" min="2" max="2"/>
  </cols>
  <sheetData>
    <row r="1" ht="30" customHeight="1" s="18">
      <c r="A1" s="1" t="inlineStr">
        <is>
          <t>Secondary Burden Check Calculation</t>
        </is>
      </c>
    </row>
    <row r="3" ht="16.2" customHeight="1" s="18">
      <c r="A3" s="9" t="inlineStr">
        <is>
          <t>1. Input Parameters</t>
        </is>
      </c>
    </row>
    <row r="4">
      <c r="A4" s="10" t="inlineStr">
        <is>
          <t>CT Rated Burden Sn (VA)</t>
        </is>
      </c>
      <c r="B4" s="11" t="n">
        <v>30</v>
      </c>
    </row>
    <row r="5">
      <c r="A5" s="10" t="inlineStr">
        <is>
          <t>Rated Secondary Current In (A)</t>
        </is>
      </c>
      <c r="B5" s="11" t="n">
        <v>1</v>
      </c>
    </row>
    <row r="6">
      <c r="A6" s="10" t="inlineStr">
        <is>
          <t>Protection Relay Burden (VA/pc)</t>
        </is>
      </c>
      <c r="B6" s="11" t="n">
        <v>12</v>
      </c>
    </row>
    <row r="7">
      <c r="A7" s="10" t="inlineStr">
        <is>
          <t>Number of Meters (pcs)</t>
        </is>
      </c>
      <c r="B7" s="11" t="n">
        <v>1</v>
      </c>
    </row>
    <row r="8">
      <c r="A8" s="10" t="inlineStr">
        <is>
          <t>Copper Resistivity ρ (Ω·mm²/m)</t>
        </is>
      </c>
      <c r="B8" s="11" t="n">
        <v>0.0175</v>
      </c>
    </row>
    <row r="9">
      <c r="A9" s="10" t="inlineStr">
        <is>
          <t>Secondary Conductor Cross-section S (mm²)</t>
        </is>
      </c>
      <c r="B9" s="11" t="n">
        <v>2.5</v>
      </c>
    </row>
    <row r="10">
      <c r="A10" s="10" t="inlineStr">
        <is>
          <t>Capacity Margin Factor k</t>
        </is>
      </c>
      <c r="B10" s="11" t="n">
        <v>0.8</v>
      </c>
    </row>
    <row r="11">
      <c r="A11" s="10" t="inlineStr">
        <is>
          <t>Actual Secondary Cable Length of This Project L_act (m)</t>
        </is>
      </c>
      <c r="B11" s="12" t="n">
        <v>10</v>
      </c>
    </row>
    <row r="13" ht="16.2" customHeight="1" s="18">
      <c r="A13" s="9" t="inlineStr">
        <is>
          <t>2. Check Calculation</t>
        </is>
      </c>
    </row>
    <row r="14">
      <c r="A14" s="13" t="inlineStr">
        <is>
          <t>Total Protection Burden Sm (VA)</t>
        </is>
      </c>
      <c r="B14" s="14">
        <f>B6*B7</f>
        <v/>
      </c>
    </row>
    <row r="15">
      <c r="A15" s="13" t="inlineStr">
        <is>
          <t>Burden Available for Secondary Conductor Sw (VA)</t>
        </is>
      </c>
      <c r="B15" s="14">
        <f>B4-B14</f>
        <v/>
      </c>
    </row>
    <row r="16">
      <c r="A16" s="13" t="inlineStr">
        <is>
          <t>Allowable Secondary Conductor Resistance R (Ω)</t>
        </is>
      </c>
      <c r="B16" s="19">
        <f>B15/(B5*B5)</f>
        <v/>
      </c>
    </row>
    <row r="17">
      <c r="A17" s="13" t="inlineStr">
        <is>
          <t>Max. Allowable Secondary Cable Length L_allow (m)</t>
        </is>
      </c>
      <c r="B17" s="14">
        <f>B16*B9/B8*B10</f>
        <v/>
      </c>
    </row>
    <row r="18">
      <c r="A18" s="13" t="inlineStr">
        <is>
          <t>Check Conclusion</t>
        </is>
      </c>
      <c r="B18" s="16">
        <f>IF(B11="","Enter actual cable length",IF(B11&lt;=B17,"Meets VA burden requirement","Not met: increase CT rating, increase conductor cross-section, or shorten cable"))</f>
        <v/>
      </c>
    </row>
    <row r="20">
      <c r="A20" s="17" t="inlineStr">
        <is>
          <t>Notes: ① Allowable resistance R = (Sn − Σ meters) / In², i.e. the conductor resistance available for the VA remaining after deducting the meter/relay burden, referred to the rated secondary current; ② Allowable cable length L_allow = R × S / ρ × k, where k is the capacity margin factor (includes allowance for terminal/contact resistance); ③ If the actual secondary cable length of this project ≤ L_allow, the CT rated VA burden requirement is met.</t>
        </is>
      </c>
    </row>
    <row r="21"/>
    <row r="22"/>
  </sheetData>
  <mergeCells count="4">
    <mergeCell ref="A13:B13"/>
    <mergeCell ref="A3:B3"/>
    <mergeCell ref="A1:B1"/>
    <mergeCell ref="A20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2" sqref="F22"/>
    </sheetView>
  </sheetViews>
  <sheetFormatPr baseColWidth="8" defaultColWidth="13" defaultRowHeight="14.4"/>
  <cols>
    <col width="52" customWidth="1" style="18" min="1" max="1"/>
    <col width="40" customWidth="1" style="8" min="2" max="2"/>
  </cols>
  <sheetData>
    <row r="1" ht="30" customHeight="1" s="18">
      <c r="A1" s="1" t="inlineStr">
        <is>
          <t>Secondary Burden Check Calculation</t>
        </is>
      </c>
    </row>
    <row r="3" ht="16.2" customHeight="1" s="18">
      <c r="A3" s="9" t="inlineStr">
        <is>
          <t>1. Input Parameters</t>
        </is>
      </c>
    </row>
    <row r="4">
      <c r="A4" s="10" t="inlineStr">
        <is>
          <t>CT Rated Burden Sn (VA)</t>
        </is>
      </c>
      <c r="B4" s="11" t="n">
        <v>10</v>
      </c>
    </row>
    <row r="5">
      <c r="A5" s="10" t="inlineStr">
        <is>
          <t>Rated Secondary Current In (A)</t>
        </is>
      </c>
      <c r="B5" s="11" t="n">
        <v>1</v>
      </c>
    </row>
    <row r="6">
      <c r="A6" s="10" t="inlineStr">
        <is>
          <t>Instrument Burden (VA/pc)</t>
        </is>
      </c>
      <c r="B6" s="11" t="n">
        <v>5</v>
      </c>
    </row>
    <row r="7">
      <c r="A7" s="10" t="inlineStr">
        <is>
          <t>Number of Meters (pcs)</t>
        </is>
      </c>
      <c r="B7" s="11" t="n">
        <v>1</v>
      </c>
    </row>
    <row r="8">
      <c r="A8" s="10" t="inlineStr">
        <is>
          <t>Copper Resistivity ρ (Ω·mm²/m)</t>
        </is>
      </c>
      <c r="B8" s="11" t="n">
        <v>0.0175</v>
      </c>
    </row>
    <row r="9">
      <c r="A9" s="10" t="inlineStr">
        <is>
          <t>Secondary Conductor Cross-section S (mm²)</t>
        </is>
      </c>
      <c r="B9" s="11" t="n">
        <v>2.5</v>
      </c>
    </row>
    <row r="10">
      <c r="A10" s="10" t="inlineStr">
        <is>
          <t>Capacity Margin Factor k</t>
        </is>
      </c>
      <c r="B10" s="11" t="n">
        <v>0.8</v>
      </c>
    </row>
    <row r="11">
      <c r="A11" s="10" t="inlineStr">
        <is>
          <t>Actual Secondary Cable Length of This Project L_act (m)</t>
        </is>
      </c>
      <c r="B11" s="12" t="n">
        <v>10</v>
      </c>
    </row>
    <row r="13" ht="16.2" customHeight="1" s="18">
      <c r="A13" s="9" t="inlineStr">
        <is>
          <t>2. Check Calculation</t>
        </is>
      </c>
    </row>
    <row r="14">
      <c r="A14" s="13" t="inlineStr">
        <is>
          <t>Total Protection Burden Sm (VA)</t>
        </is>
      </c>
      <c r="B14" s="14">
        <f>B6*B7</f>
        <v/>
      </c>
    </row>
    <row r="15">
      <c r="A15" s="13" t="inlineStr">
        <is>
          <t>Burden Available for Secondary Conductor Sw (VA)</t>
        </is>
      </c>
      <c r="B15" s="14">
        <f>B4-B14</f>
        <v/>
      </c>
    </row>
    <row r="16">
      <c r="A16" s="13" t="inlineStr">
        <is>
          <t>Allowable Secondary Conductor Resistance R (Ω)</t>
        </is>
      </c>
      <c r="B16" s="19">
        <f>B15/(B5*B5)</f>
        <v/>
      </c>
    </row>
    <row r="17">
      <c r="A17" s="13" t="inlineStr">
        <is>
          <t>Max. Allowable Secondary Cable Length L_allow (m)</t>
        </is>
      </c>
      <c r="B17" s="14">
        <f>B16*B9/B8*B10</f>
        <v/>
      </c>
    </row>
    <row r="18">
      <c r="A18" s="13" t="inlineStr">
        <is>
          <t>Check Conclusion</t>
        </is>
      </c>
      <c r="B18" s="16">
        <f>IF(B11="","Enter actual cable length",IF(B11&lt;=B17,"Meets VA burden requirement","Not met: increase CT rating, increase conductor cross-section, or shorten cable"))</f>
        <v/>
      </c>
    </row>
    <row r="20" s="18">
      <c r="A20" s="17" t="inlineStr">
        <is>
          <t>Notes: ① Allowable resistance R = (Sn − Σ meters) / In², i.e. the conductor resistance available for the VA remaining after deducting the meter/relay burden, referred to the rated secondary current; ② Allowable cable length L_allow = R × S / ρ × k, where k is the capacity margin factor (includes allowance for terminal/contact resistance); ③ If the actual secondary cable length of this project ≤ L_allow, the CT rated VA burden requirement is met.</t>
        </is>
      </c>
    </row>
    <row r="21"/>
    <row r="22"/>
  </sheetData>
  <mergeCells count="4">
    <mergeCell ref="A13:B13"/>
    <mergeCell ref="A3:B3"/>
    <mergeCell ref="A1:B1"/>
    <mergeCell ref="A20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E21" sqref="E21"/>
    </sheetView>
  </sheetViews>
  <sheetFormatPr baseColWidth="8" defaultColWidth="13" defaultRowHeight="14.4"/>
  <cols>
    <col width="6" customWidth="1" style="18" min="1" max="1"/>
    <col width="31.2222222222222" customWidth="1" style="18" min="2" max="2"/>
    <col width="13" customWidth="1" style="18" min="3" max="3"/>
    <col width="12" customWidth="1" style="18" min="4" max="6"/>
    <col width="10" customWidth="1" style="18" min="7" max="7"/>
    <col width="20" customWidth="1" style="18" min="8" max="8"/>
    <col width="18" customWidth="1" style="18" min="9" max="9"/>
  </cols>
  <sheetData>
    <row r="1" ht="30" customHeight="1" s="18">
      <c r="A1" s="1" t="inlineStr">
        <is>
          <t>CT Selection Parameter Table (Current Transformers)</t>
        </is>
      </c>
    </row>
    <row r="2" ht="34" customHeight="1" s="18">
      <c r="A2" s="2" t="inlineStr">
        <is>
          <t>No.</t>
        </is>
      </c>
      <c r="B2" s="2" t="inlineStr">
        <is>
          <t>CT Model</t>
        </is>
      </c>
      <c r="C2" s="2" t="inlineStr">
        <is>
          <t>Rated Secondary Current (A)</t>
        </is>
      </c>
      <c r="D2" s="2" t="inlineStr">
        <is>
          <t>Accuracy Class (Protection)</t>
        </is>
      </c>
      <c r="E2" s="2" t="inlineStr">
        <is>
          <t>Accuracy Class (Metering)</t>
        </is>
      </c>
      <c r="F2" s="2" t="inlineStr">
        <is>
          <t>Rated Burden (VA)</t>
        </is>
      </c>
      <c r="G2" s="2" t="inlineStr">
        <is>
          <t>Application</t>
        </is>
      </c>
      <c r="H2" s="2" t="inlineStr">
        <is>
          <t>Max. Allowable Secondary Cable Length (m)</t>
        </is>
      </c>
      <c r="I2" s="2" t="inlineStr">
        <is>
          <t>Check Conclusion</t>
        </is>
      </c>
    </row>
    <row r="3" ht="33" customHeight="1" s="18">
      <c r="A3" s="3" t="inlineStr">
        <is>
          <t>1</t>
        </is>
      </c>
      <c r="B3" s="3" t="inlineStr">
        <is>
          <t>See system diagram</t>
        </is>
      </c>
      <c r="C3" s="4" t="n">
        <v>1</v>
      </c>
      <c r="D3" s="3" t="inlineStr">
        <is>
          <t>5P20</t>
        </is>
      </c>
      <c r="E3" s="3" t="n"/>
      <c r="F3" s="4" t="n">
        <v>30</v>
      </c>
      <c r="G3" s="3" t="inlineStr">
        <is>
          <t>Protection</t>
        </is>
      </c>
      <c r="H3" s="5">
        <f>'Protection Burden Check'!B17</f>
        <v/>
      </c>
      <c r="I3" s="5">
        <f>'Protection Burden Check'!B18</f>
        <v/>
      </c>
    </row>
    <row r="4" ht="33" customHeight="1" s="18">
      <c r="A4" s="3" t="n">
        <v>2</v>
      </c>
      <c r="B4" s="3" t="inlineStr">
        <is>
          <t>See system diagram</t>
        </is>
      </c>
      <c r="C4" s="4" t="n">
        <v>1</v>
      </c>
      <c r="D4" s="3" t="n"/>
      <c r="E4" s="3" t="inlineStr">
        <is>
          <t>0.2SFS5</t>
        </is>
      </c>
      <c r="F4" s="4" t="n">
        <v>10</v>
      </c>
      <c r="G4" s="3" t="inlineStr">
        <is>
          <t>Metering</t>
        </is>
      </c>
      <c r="H4" s="5">
        <f>'Metering Burden Check'!B17</f>
        <v/>
      </c>
      <c r="I4" s="5">
        <f>'Metering Burden Check'!B18</f>
        <v/>
      </c>
    </row>
    <row r="6">
      <c r="A6" s="6" t="inlineStr">
        <is>
          <t>Notes:</t>
        </is>
      </c>
    </row>
    <row r="7">
      <c r="A7" s="7" t="inlineStr">
        <is>
          <t>1. This table is a framework for CT selection parameters. The ratio (rated primary current), CT model, accuracy class (5P/10P, etc.) and bay/equipment name shall be supplemented and confirmed according to the project primary system and protection/metering requirements.</t>
        </is>
      </c>
    </row>
    <row r="8">
      <c r="A8" s="7" t="inlineStr">
        <is>
          <t>2. "Max. Allowable Secondary Cable Length" is calculated in the "Secondary Burden Check" sheet (this data: Sn = 20 VA, secondary current 5 A, meter 1 VA × 1, conductor 2.5 mm², factor 0.8, allowable length = 86.86 m).</t>
        </is>
      </c>
    </row>
    <row r="9">
      <c r="A9" s="7" t="inlineStr">
        <is>
          <t>3. Check principle: if the actual secondary circuit cable length of this project ≤ the allowable length, the CT rated VA burden requirement is met; otherwise it is not met, and the CT rating must be increased, the conductor cross-section increased, or the cable shortened.</t>
        </is>
      </c>
    </row>
    <row r="10">
      <c r="A10" s="7" t="inlineStr">
        <is>
          <t>4. When protection and metering are checked separately, verify the total secondary circuit burden (meters + conductors) against the rated burden VA corresponding to each accuracy class.</t>
        </is>
      </c>
    </row>
  </sheetData>
  <mergeCells count="6">
    <mergeCell ref="A7:I7"/>
    <mergeCell ref="A10:I10"/>
    <mergeCell ref="A1:I1"/>
    <mergeCell ref="A9:I9"/>
    <mergeCell ref="A8:I8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2026-09-28T05:54:00Z</dcterms:created>
  <dcterms:modified xsi:type="dcterms:W3CDTF">2026-10-15T01:20:36Z</dcterms:modified>
  <cp:lastModifiedBy>钱小妮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FF6DA9A82E9745A5A54BE5A8F340894F_13</vt:lpwstr>
  </property>
  <property name="CalculationRule" fmtid="{D5CDD505-2E9C-101B-9397-08002B2CF9AE}" pid="4">
    <vt:i4>0</vt:i4>
  </property>
</Properties>
</file>